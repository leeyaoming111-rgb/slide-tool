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aterfall" sheetId="2" state="visible" r:id="rId2"/>
    <sheet name="Waterfall-H" sheetId="3" state="visible" r:id="rId3"/>
    <sheet name="Football Field" sheetId="4" state="visible" r:id="rId4"/>
    <sheet name="Scenario Bars" sheetId="5" state="visible" r:id="rId5"/>
    <sheet name="Build-Up Table" sheetId="6" state="visible" r:id="rId6"/>
    <sheet name="Column-Hero" sheetId="7" state="visible" r:id="rId7"/>
    <sheet name="Bars-Ranking" sheetId="8" state="visible" r:id="rId8"/>
    <sheet name="Stacked Bars" sheetId="9" state="visible" r:id="rId9"/>
    <sheet name="Line" sheetId="10" state="visible" r:id="rId10"/>
    <sheet name="Combo Bar+Line" sheetId="11" state="visible" r:id="rId11"/>
    <sheet name="Radar" sheetId="12" state="visible" r:id="rId12"/>
    <sheet name="Pie" sheetId="13" state="visible" r:id="rId13"/>
    <sheet name="Dual-Axis Lin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0"/>
    <numFmt numFmtId="166" formatCode="0.0%"/>
  </numFmts>
  <fonts count="16">
    <font>
      <name val="Calibri"/>
      <family val="2"/>
      <color theme="1"/>
      <sz val="11"/>
      <scheme val="minor"/>
    </font>
    <font>
      <name val="Inter"/>
      <b val="1"/>
      <color rgb="001F3A52"/>
      <sz val="9"/>
    </font>
    <font>
      <name val="Inter"/>
      <b val="1"/>
      <color rgb="0014233A"/>
      <sz val="18"/>
    </font>
    <font>
      <name val="Inter"/>
      <color rgb="0014233A"/>
      <sz val="10"/>
    </font>
    <font>
      <name val="Inter"/>
      <b val="1"/>
      <color rgb="0014233A"/>
      <sz val="10"/>
    </font>
    <font>
      <name val="Inter"/>
      <b val="1"/>
      <color rgb="001F3A52"/>
      <sz val="10"/>
    </font>
    <font>
      <name val="Inter"/>
      <color rgb="005B6B79"/>
      <sz val="9"/>
    </font>
    <font>
      <name val="Inter"/>
      <b val="1"/>
      <color rgb="002E6FB0"/>
      <sz val="10"/>
    </font>
    <font>
      <name val="Inter"/>
      <b val="1"/>
      <color rgb="00FFFFFF"/>
      <sz val="10"/>
    </font>
    <font>
      <name val="Inter"/>
      <b val="1"/>
      <color rgb="0014233A"/>
      <sz val="14"/>
    </font>
    <font>
      <name val="Inter"/>
      <color rgb="002E6FB0"/>
      <sz val="10"/>
    </font>
    <font>
      <name val="Inter"/>
      <color rgb="005B6B79"/>
      <sz val="10"/>
    </font>
    <font>
      <name val="Inter"/>
      <i val="1"/>
      <color rgb="005B6B79"/>
      <sz val="9"/>
    </font>
    <font>
      <name val="Inter"/>
      <b val="1"/>
      <color rgb="00FFFFFF"/>
      <sz val="14"/>
    </font>
    <font>
      <name val="Inter"/>
      <b val="1"/>
      <color rgb="002E8B6F"/>
      <sz val="10"/>
    </font>
    <font>
      <name val="Inter"/>
      <b val="1"/>
      <color rgb="0014233A"/>
      <sz val="12"/>
    </font>
  </fonts>
  <fills count="15">
    <fill>
      <patternFill/>
    </fill>
    <fill>
      <patternFill patternType="gray125"/>
    </fill>
    <fill>
      <patternFill patternType="solid">
        <fgColor rgb="0014233A"/>
      </patternFill>
    </fill>
    <fill>
      <patternFill patternType="solid">
        <fgColor rgb="001F3A52"/>
      </patternFill>
    </fill>
    <fill>
      <patternFill patternType="solid">
        <fgColor rgb="002E6FB0"/>
      </patternFill>
    </fill>
    <fill>
      <patternFill patternType="solid">
        <fgColor rgb="005B8FC7"/>
      </patternFill>
    </fill>
    <fill>
      <patternFill patternType="solid">
        <fgColor rgb="00A9C4DD"/>
      </patternFill>
    </fill>
    <fill>
      <patternFill patternType="solid">
        <fgColor rgb="005B6B79"/>
      </patternFill>
    </fill>
    <fill>
      <patternFill patternType="solid">
        <fgColor rgb="00C9D2DA"/>
      </patternFill>
    </fill>
    <fill>
      <patternFill patternType="solid">
        <fgColor rgb="00F4F6F7"/>
      </patternFill>
    </fill>
    <fill>
      <patternFill patternType="solid">
        <fgColor rgb="002E8B6F"/>
      </patternFill>
    </fill>
    <fill>
      <patternFill patternType="solid">
        <fgColor rgb="00C0473E"/>
      </patternFill>
    </fill>
    <fill>
      <patternFill patternType="solid">
        <fgColor rgb="00E0A13C"/>
      </patternFill>
    </fill>
    <fill>
      <patternFill patternType="solid">
        <fgColor rgb="00F7E8CC"/>
      </patternFill>
    </fill>
    <fill>
      <patternFill patternType="solid">
        <fgColor rgb="00C9E7D6"/>
      </patternFill>
    </fill>
  </fills>
  <borders count="4">
    <border>
      <left/>
      <right/>
      <top/>
      <bottom/>
      <diagonal/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  <border>
      <bottom style="medium">
        <color rgb="001F3A52"/>
      </bottom>
    </border>
    <border>
      <top style="thin">
        <color rgb="001F3A52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8" fillId="2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4" fillId="6" borderId="0" pivotButton="0" quotePrefix="0" xfId="0"/>
    <xf numFmtId="0" fontId="8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8" fillId="10" borderId="0" pivotButton="0" quotePrefix="0" xfId="0"/>
    <xf numFmtId="0" fontId="8" fillId="11" borderId="0" pivotButton="0" quotePrefix="0" xfId="0"/>
    <xf numFmtId="0" fontId="4" fillId="12" borderId="0" pivotButton="0" quotePrefix="0" xfId="0"/>
    <xf numFmtId="0" fontId="9" fillId="0" borderId="0" pivotButton="0" quotePrefix="0" xfId="0"/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  <xf numFmtId="3" fontId="10" fillId="0" borderId="1" applyAlignment="1" pivotButton="0" quotePrefix="0" xfId="0">
      <alignment horizontal="right"/>
    </xf>
    <xf numFmtId="3" fontId="11" fillId="0" borderId="0" applyAlignment="1" pivotButton="0" quotePrefix="0" xfId="0">
      <alignment horizontal="right"/>
    </xf>
    <xf numFmtId="0" fontId="3" fillId="0" borderId="0" pivotButton="0" quotePrefix="0" xfId="0"/>
    <xf numFmtId="3" fontId="4" fillId="0" borderId="0" applyAlignment="1" pivotButton="0" quotePrefix="0" xfId="0">
      <alignment horizontal="right"/>
    </xf>
    <xf numFmtId="0" fontId="12" fillId="0" borderId="0" pivotButton="0" quotePrefix="0" xfId="0"/>
    <xf numFmtId="9" fontId="13" fillId="3" borderId="0" applyAlignment="1" pivotButton="0" quotePrefix="0" xfId="0">
      <alignment horizontal="center"/>
    </xf>
    <xf numFmtId="164" fontId="10" fillId="0" borderId="1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4" fontId="10" fillId="13" borderId="1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165" fontId="10" fillId="0" borderId="1" applyAlignment="1" pivotButton="0" quotePrefix="0" xfId="0">
      <alignment horizontal="right"/>
    </xf>
    <xf numFmtId="0" fontId="4" fillId="0" borderId="3" pivotButton="0" quotePrefix="0" xfId="0"/>
    <xf numFmtId="3" fontId="4" fillId="0" borderId="3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166" fontId="14" fillId="14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9" fontId="10" fillId="0" borderId="1" applyAlignment="1" pivotButton="0" quotePrefix="0" xfId="0">
      <alignment horizontal="right"/>
    </xf>
    <xf numFmtId="0" fontId="1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stacked"/>
        <ser>
          <idx val="0"/>
          <order val="0"/>
          <tx>
            <strRef>
              <f>'Waterfall'!D5</f>
            </strRef>
          </tx>
          <spPr>
            <a:noFill/>
            <a:ln>
              <a:noFill/>
              <a:prstDash val="solid"/>
            </a:ln>
          </spPr>
          <cat>
            <numRef>
              <f>'Waterfall'!$A$6:$A$11</f>
            </numRef>
          </cat>
          <val>
            <numRef>
              <f>'Waterfall'!$D$6:$D$11</f>
            </numRef>
          </val>
        </ser>
        <ser>
          <idx val="1"/>
          <order val="1"/>
          <tx>
            <strRef>
              <f>'Waterfall'!E5</f>
            </strRef>
          </tx>
          <spPr>
            <a:solidFill>
              <a:srgbClr val="2E8B6F"/>
            </a:solidFill>
            <a:ln>
              <a:noFill/>
              <a:prstDash val="solid"/>
            </a:ln>
          </spPr>
          <dLbls>
            <numFmt formatCode="#,##0"/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'Waterfall'!$A$6:$A$11</f>
            </numRef>
          </cat>
          <val>
            <numRef>
              <f>'Waterfall'!$E$6:$E$11</f>
            </numRef>
          </val>
        </ser>
        <ser>
          <idx val="2"/>
          <order val="2"/>
          <tx>
            <strRef>
              <f>'Waterfall'!F5</f>
            </strRef>
          </tx>
          <spPr>
            <a:solidFill>
              <a:srgbClr val="C0473E"/>
            </a:solidFill>
            <a:ln>
              <a:noFill/>
              <a:prstDash val="solid"/>
            </a:ln>
          </spPr>
          <dLbls>
            <numFmt formatCode="&quot;-&quot;#,##0"/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'Waterfall'!$A$6:$A$11</f>
            </numRef>
          </cat>
          <val>
            <numRef>
              <f>'Waterfall'!$F$6:$F$11</f>
            </numRef>
          </val>
        </ser>
        <ser>
          <idx val="3"/>
          <order val="3"/>
          <tx>
            <strRef>
              <f>'Waterfall'!G5</f>
            </strRef>
          </tx>
          <spPr>
            <a:solidFill>
              <a:srgbClr val="1F3A52"/>
            </a:solidFill>
            <a:ln>
              <a:noFill/>
              <a:prstDash val="solid"/>
            </a:ln>
          </spPr>
          <dLbls>
            <numFmt formatCode="#,##0"/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'Waterfall'!$A$6:$A$11</f>
            </numRef>
          </cat>
          <val>
            <numRef>
              <f>'Waterfall'!$G$6:$G$11</f>
            </numRef>
          </val>
        </ser>
        <gapWidth val="45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'Waterfall-H'!D5</f>
            </strRef>
          </tx>
          <spPr>
            <a:noFill/>
            <a:ln>
              <a:noFill/>
              <a:prstDash val="solid"/>
            </a:ln>
          </spPr>
          <cat>
            <numRef>
              <f>'Waterfall-H'!$A$6:$A$11</f>
            </numRef>
          </cat>
          <val>
            <numRef>
              <f>'Waterfall-H'!$D$6:$D$11</f>
            </numRef>
          </val>
        </ser>
        <ser>
          <idx val="1"/>
          <order val="1"/>
          <tx>
            <strRef>
              <f>'Waterfall-H'!E5</f>
            </strRef>
          </tx>
          <spPr>
            <a:solidFill>
              <a:srgbClr val="2E8B6F"/>
            </a:solidFill>
            <a:ln>
              <a:noFill/>
              <a:prstDash val="solid"/>
            </a:ln>
          </spPr>
          <dLbls>
            <numFmt formatCode="#,##0"/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'Waterfall-H'!$A$6:$A$11</f>
            </numRef>
          </cat>
          <val>
            <numRef>
              <f>'Waterfall-H'!$E$6:$E$11</f>
            </numRef>
          </val>
        </ser>
        <ser>
          <idx val="2"/>
          <order val="2"/>
          <tx>
            <strRef>
              <f>'Waterfall-H'!F5</f>
            </strRef>
          </tx>
          <spPr>
            <a:solidFill>
              <a:srgbClr val="C0473E"/>
            </a:solidFill>
            <a:ln>
              <a:noFill/>
              <a:prstDash val="solid"/>
            </a:ln>
          </spPr>
          <dLbls>
            <numFmt formatCode="&quot;-&quot;#,##0"/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'Waterfall-H'!$A$6:$A$11</f>
            </numRef>
          </cat>
          <val>
            <numRef>
              <f>'Waterfall-H'!$F$6:$F$11</f>
            </numRef>
          </val>
        </ser>
        <ser>
          <idx val="3"/>
          <order val="3"/>
          <tx>
            <strRef>
              <f>'Waterfall-H'!G5</f>
            </strRef>
          </tx>
          <spPr>
            <a:solidFill>
              <a:srgbClr val="1F3A52"/>
            </a:solidFill>
            <a:ln>
              <a:noFill/>
              <a:prstDash val="solid"/>
            </a:ln>
          </spPr>
          <dLbls>
            <numFmt formatCode="#,##0"/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'Waterfall-H'!$A$6:$A$11</f>
            </numRef>
          </cat>
          <val>
            <numRef>
              <f>'Waterfall-H'!$G$6:$G$11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stacked"/>
        <ser>
          <idx val="0"/>
          <order val="0"/>
          <tx>
            <strRef>
              <f>'Football Field'!D5</f>
            </strRef>
          </tx>
          <spPr>
            <a:noFill/>
            <a:ln>
              <a:noFill/>
              <a:prstDash val="solid"/>
            </a:ln>
          </spPr>
          <cat>
            <numRef>
              <f>'Football Field'!$A$6:$A$10</f>
            </numRef>
          </cat>
          <val>
            <numRef>
              <f>'Football Field'!$D$6:$D$10</f>
            </numRef>
          </val>
        </ser>
        <ser>
          <idx val="1"/>
          <order val="1"/>
          <tx>
            <strRef>
              <f>'Football Field'!E5</f>
            </strRef>
          </tx>
          <spPr>
            <a:solidFill>
              <a:srgbClr val="A9C4DD"/>
            </a:solidFill>
            <a:ln>
              <a:noFill/>
              <a:prstDash val="solid"/>
            </a:ln>
          </spPr>
          <dPt>
            <idx val="4"/>
            <spPr>
              <a:solidFill>
                <a:srgbClr val="1F3A52"/>
              </a:solidFill>
              <a:ln>
                <a:noFill/>
                <a:prstDash val="solid"/>
              </a:ln>
            </spPr>
          </dPt>
          <cat>
            <numRef>
              <f>'Football Field'!$A$6:$A$10</f>
            </numRef>
          </cat>
          <val>
            <numRef>
              <f>'Football Field'!$E$6:$E$10</f>
            </numRef>
          </val>
        </ser>
        <gapWidth val="7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9525">
              <a:solidFill>
                <a:srgbClr val="C9D2DA"/>
              </a:solidFill>
              <a:prstDash val="solid"/>
            </a:ln>
          </spPr>
        </majorGridlines>
        <numFmt formatCode="&quot;$&quot;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"/>
      </valAx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'Scenario Bars'!B5</f>
            </strRef>
          </tx>
          <spPr>
            <a:solidFill>
              <a:srgbClr val="2E6FB0"/>
            </a:solidFill>
            <a:ln>
              <a:noFill/>
              <a:prstDash val="solid"/>
            </a:ln>
          </spPr>
          <dPt>
            <idx val="0"/>
            <spPr>
              <a:solidFill>
                <a:srgbClr val="C0473E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2E6FB0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2E8B6F"/>
              </a:solidFill>
              <a:ln>
                <a:noFill/>
                <a:prstDash val="solid"/>
              </a:ln>
            </spPr>
          </dPt>
          <dLbls>
            <numFmt formatCode="&quot;$&quot;#,##0"/>
            <txPr>
              <a:bodyPr/>
              <a:p>
                <a:pPr>
                  <a:defRPr sz="1100" b="1">
                    <a:solidFill>
                      <a:srgbClr val="14233A"/>
                    </a:solidFill>
                    <a:latin typeface="Inter"/>
                  </a:defRPr>
                </a:pPr>
                <a:r>
                  <a:t/>
                </a:r>
                <a:endParaRPr sz="1100" b="1">
                  <a:solidFill>
                    <a:srgbClr val="14233A"/>
                  </a:solidFill>
                  <a:latin typeface="Inter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'Scenario Bars'!$A$6:$A$8</f>
            </numRef>
          </cat>
          <val>
            <numRef>
              <f>'Scenario Bars'!$B$6:$B$8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'Column-Hero'!B5</f>
            </strRef>
          </tx>
          <spPr>
            <a:solidFill>
              <a:srgbClr val="C9D2DA"/>
            </a:solidFill>
            <a:ln>
              <a:noFill/>
              <a:prstDash val="solid"/>
            </a:ln>
          </spPr>
          <dPt>
            <idx val="6"/>
            <spPr>
              <a:solidFill>
                <a:srgbClr val="2E6FB0"/>
              </a:solidFill>
              <a:ln>
                <a:noFill/>
                <a:prstDash val="solid"/>
              </a:ln>
            </spPr>
          </dPt>
          <dLbls>
            <numFmt formatCode="#,##0"/>
            <txPr>
              <a:bodyPr/>
              <a:p>
                <a:pPr>
                  <a:defRPr sz="1000" b="1">
                    <a:solidFill>
                      <a:srgbClr val="14233A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14233A"/>
                  </a:solidFill>
                  <a:latin typeface="Inter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'Column-Hero'!$A$6:$A$12</f>
            </numRef>
          </cat>
          <val>
            <numRef>
              <f>'Column-Hero'!$B$6:$B$12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'Bars-Ranking'!B5</f>
            </strRef>
          </tx>
          <spPr>
            <a:solidFill>
              <a:srgbClr val="C9D2DA"/>
            </a:solidFill>
            <a:ln>
              <a:noFill/>
              <a:prstDash val="solid"/>
            </a:ln>
          </spPr>
          <dPt>
            <idx val="1"/>
            <spPr>
              <a:solidFill>
                <a:srgbClr val="2E6FB0"/>
              </a:solidFill>
              <a:ln>
                <a:noFill/>
                <a:prstDash val="solid"/>
              </a:ln>
            </spPr>
          </dPt>
          <dLbls>
            <numFmt formatCode="0&quot;%&quot;"/>
            <txPr>
              <a:bodyPr/>
              <a:p>
                <a:pPr>
                  <a:defRPr sz="1000" b="1">
                    <a:solidFill>
                      <a:srgbClr val="14233A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14233A"/>
                  </a:solidFill>
                  <a:latin typeface="Inter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'Bars-Ranking'!$A$6:$A$10</f>
            </numRef>
          </cat>
          <val>
            <numRef>
              <f>'Bars-Ranking'!$B$6:$B$10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stacked"/>
        <ser>
          <idx val="0"/>
          <order val="0"/>
          <tx>
            <strRef>
              <f>'Stacked Bars'!A6</f>
            </strRef>
          </tx>
          <spPr>
            <a:solidFill>
              <a:srgbClr val="1F3A52"/>
            </a:solidFill>
            <a:ln>
              <a:noFill/>
              <a:prstDash val="solid"/>
            </a:ln>
          </spPr>
          <dLbls>
            <numFmt formatCode="#,##0"/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'Stacked Bars'!$B$5:$E$5</f>
            </numRef>
          </cat>
          <val>
            <numRef>
              <f>'Stacked Bars'!$B$6:$E$6</f>
            </numRef>
          </val>
        </ser>
        <ser>
          <idx val="1"/>
          <order val="1"/>
          <tx>
            <strRef>
              <f>'Stacked Bars'!A7</f>
            </strRef>
          </tx>
          <spPr>
            <a:solidFill>
              <a:srgbClr val="5B8FC7"/>
            </a:solidFill>
            <a:ln>
              <a:noFill/>
              <a:prstDash val="solid"/>
            </a:ln>
          </spPr>
          <dLbls>
            <numFmt formatCode="#,##0"/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'Stacked Bars'!$B$5:$E$5</f>
            </numRef>
          </cat>
          <val>
            <numRef>
              <f>'Stacked Bars'!$B$7:$E$7</f>
            </numRef>
          </val>
        </ser>
        <ser>
          <idx val="2"/>
          <order val="2"/>
          <tx>
            <strRef>
              <f>'Stacked Bars'!A8</f>
            </strRef>
          </tx>
          <spPr>
            <a:solidFill>
              <a:srgbClr val="A9C4DD"/>
            </a:solidFill>
            <a:ln>
              <a:noFill/>
              <a:prstDash val="solid"/>
            </a:ln>
          </spPr>
          <dLbls>
            <numFmt formatCode="#,##0"/>
            <txPr>
              <a:bodyPr/>
              <a:p>
                <a:pPr>
                  <a:defRPr sz="1000" b="1">
                    <a:solidFill>
                      <a:srgbClr val="14233A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14233A"/>
                  </a:solidFill>
                  <a:latin typeface="Inter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'Stacked Bars'!$B$5:$E$5</f>
            </numRef>
          </cat>
          <val>
            <numRef>
              <f>'Stacked Bars'!$B$8:$E$8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t"/>
      <txPr>
        <a:bodyPr/>
        <a:p>
          <a:pPr>
            <a:defRPr sz="1000" b="0">
              <a:solidFill>
                <a:srgbClr val="5B6B79"/>
              </a:solidFill>
              <a:latin typeface="Inter"/>
            </a:defRPr>
          </a:pPr>
          <a:r>
            <a:t/>
          </a:r>
          <a:endParaRPr sz="1000" b="0">
            <a:solidFill>
              <a:srgbClr val="5B6B79"/>
            </a:solidFill>
            <a:latin typeface="Inter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roundedCorners val="0"/>
  <chart>
    <plotArea>
      <lineChart>
        <grouping val="standard"/>
        <ser>
          <idx val="0"/>
          <order val="0"/>
          <tx>
            <strRef>
              <f>'Line'!A6</f>
            </strRef>
          </tx>
          <spPr>
            <a:ln w="31750">
              <a:solidFill>
                <a:srgbClr val="2E6F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'Line'!$B$5:$H$5</f>
            </numRef>
          </cat>
          <val>
            <numRef>
              <f>'Line'!$B$6:$H$6</f>
            </numRef>
          </val>
          <smooth val="0"/>
        </ser>
        <ser>
          <idx val="1"/>
          <order val="1"/>
          <tx>
            <strRef>
              <f>'Line'!A7</f>
            </strRef>
          </tx>
          <spPr>
            <a:ln w="19050">
              <a:solidFill>
                <a:srgbClr val="5B6B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'Line'!$B$5:$H$5</f>
            </numRef>
          </cat>
          <val>
            <numRef>
              <f>'Line'!$B$7:$H$7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9525">
              <a:solidFill>
                <a:srgbClr val="C9D2DA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"/>
      </valAx>
    </plotArea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'Combo Bar+Line'!A6</f>
            </strRef>
          </tx>
          <spPr>
            <a:solidFill>
              <a:srgbClr val="1F3A52"/>
            </a:solidFill>
            <a:ln>
              <a:noFill/>
              <a:prstDash val="solid"/>
            </a:ln>
          </spPr>
          <cat>
            <numRef>
              <f>'Combo Bar+Line'!$B$5:$F$5</f>
            </numRef>
          </cat>
          <val>
            <numRef>
              <f>'Combo Bar+Line'!$B$6:$F$6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'Combo Bar+Line'!A7</f>
            </strRef>
          </tx>
          <spPr>
            <a:ln w="31750">
              <a:solidFill>
                <a:srgbClr val="2E6F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0%"/>
            <txPr>
              <a:bodyPr/>
              <a:p>
                <a:pPr>
                  <a:defRPr sz="1000" b="1">
                    <a:solidFill>
                      <a:srgbClr val="2E6FB0"/>
                    </a:solidFill>
                    <a:latin typeface="Inter"/>
                  </a:defRPr>
                </a:pPr>
                <a:r>
                  <a:t/>
                </a:r>
                <a:endParaRPr sz="1000" b="1">
                  <a:solidFill>
                    <a:srgbClr val="2E6FB0"/>
                  </a:solidFill>
                  <a:latin typeface="Inter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'Combo Bar+Line'!$B$7:$F$7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 sz="1000">
                    <a:solidFill>
                      <a:srgbClr val="5B6B79"/>
                    </a:solidFill>
                    <a:latin typeface="Inter"/>
                  </a:defRPr>
                </a:pPr>
                <a:r>
                  <a:t>$m</a:t>
                </a:r>
              </a:p>
            </rich>
          </tx>
        </title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"/>
      </valAx>
      <valAx>
        <axId val="200"/>
        <scaling>
          <orientation val="minMax"/>
        </scaling>
        <axPos val="l"/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1100" b="0">
                <a:solidFill>
                  <a:srgbClr val="2E6FB0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2E6FB0"/>
              </a:solidFill>
              <a:latin typeface="Inter"/>
            </a:endParaRPr>
          </a:p>
        </txPr>
        <crossAx val="10"/>
        <crosses val="max"/>
      </valAx>
    </plotArea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'Radar'!B12</f>
            </strRef>
          </tx>
          <spPr>
            <a:ln w="25400">
              <a:solidFill>
                <a:srgbClr val="2E6F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'Radar'!$A$13:$A$17</f>
            </numRef>
          </cat>
          <val>
            <numRef>
              <f>'Radar'!$B$13:$B$17</f>
            </numRef>
          </val>
        </ser>
        <ser>
          <idx val="1"/>
          <order val="1"/>
          <tx>
            <strRef>
              <f>'Radar'!C12</f>
            </strRef>
          </tx>
          <spPr>
            <a:ln w="19050">
              <a:solidFill>
                <a:srgbClr val="C9D2D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'Radar'!$A$13:$A$17</f>
            </numRef>
          </cat>
          <val>
            <numRef>
              <f>'Radar'!$C$13:$C$17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10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0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>
          <spPr>
            <a:ln w="9525">
              <a:solidFill>
                <a:srgbClr val="C9D2D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900" b="0">
              <a:solidFill>
                <a:srgbClr val="5B6B79"/>
              </a:solidFill>
              <a:latin typeface="Inter"/>
            </a:endParaRPr>
          </a:p>
        </txPr>
        <crossAx val="10"/>
        <majorUnit val="25"/>
      </valAx>
    </plotArea>
    <legend>
      <legendPos val="t"/>
      <txPr>
        <a:bodyPr/>
        <a:p>
          <a:pPr>
            <a:defRPr sz="1000" b="0">
              <a:solidFill>
                <a:srgbClr val="5B6B79"/>
              </a:solidFill>
              <a:latin typeface="Inter"/>
            </a:defRPr>
          </a:pPr>
          <a:r>
            <a:t/>
          </a:r>
          <a:endParaRPr sz="1000" b="0">
            <a:solidFill>
              <a:srgbClr val="5B6B79"/>
            </a:solidFill>
            <a:latin typeface="Inter"/>
          </a:endParaRP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'Pie'!B5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3A52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5B8FC7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A9C4DD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C9D2DA"/>
              </a:solidFill>
              <a:ln>
                <a:noFill/>
                <a:prstDash val="solid"/>
              </a:ln>
            </spPr>
          </dPt>
          <cat>
            <numRef>
              <f>'Pie'!$A$6:$A$9</f>
            </numRef>
          </cat>
          <val>
            <numRef>
              <f>'Pie'!$B$6:$B$9</f>
            </numRef>
          </val>
        </ser>
        <dLbls>
          <txPr>
            <a:bodyPr/>
            <a:p>
              <a:pPr>
                <a:defRPr sz="1000" b="0">
                  <a:solidFill>
                    <a:srgbClr val="14233A"/>
                  </a:solidFill>
                  <a:latin typeface="Inter"/>
                </a:defRPr>
              </a:pPr>
              <a:r>
                <a:t/>
              </a:r>
              <a:endParaRPr sz="1000" b="0">
                <a:solidFill>
                  <a:srgbClr val="14233A"/>
                </a:solidFill>
                <a:latin typeface="Inter"/>
              </a:endParaRPr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s>
        <firstSliceAng val="0"/>
      </pieChart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roundedCorners val="0"/>
  <chart>
    <plotArea>
      <lineChart>
        <grouping val="standard"/>
        <ser>
          <idx val="0"/>
          <order val="0"/>
          <tx>
            <strRef>
              <f>'Dual-Axis Lines'!A6</f>
            </strRef>
          </tx>
          <spPr>
            <a:ln w="31750">
              <a:solidFill>
                <a:srgbClr val="1F3A5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'Dual-Axis Lines'!$B$5:$H$5</f>
            </numRef>
          </cat>
          <val>
            <numRef>
              <f>'Dual-Axis Lines'!$B$6:$H$6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'Dual-Axis Lines'!A7</f>
            </strRef>
          </tx>
          <spPr>
            <a:ln w="31750">
              <a:solidFill>
                <a:srgbClr val="2E6F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'Dual-Axis Lines'!$B$7:$H$7</f>
            </numRef>
          </val>
          <smooth val="0"/>
        </ser>
        <axId val="10"/>
        <axId val="210"/>
      </lineChart>
      <catAx>
        <axId val="10"/>
        <scaling>
          <orientation val="minMax"/>
        </scaling>
        <axPos val="l"/>
        <majorTickMark val="none"/>
        <minorTickMark val="none"/>
        <spPr>
          <a:ln w="9525">
            <a:solidFill>
              <a:srgbClr val="C9D2DA"/>
            </a:solidFill>
            <a:prstDash val="solid"/>
          </a:ln>
        </spPr>
        <txPr>
          <a:bodyPr/>
          <a:p>
            <a:pPr>
              <a:defRPr sz="1100" b="0">
                <a:solidFill>
                  <a:srgbClr val="5B6B79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5B6B79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1100" b="0">
                <a:solidFill>
                  <a:srgbClr val="1F3A52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1F3A52"/>
              </a:solidFill>
              <a:latin typeface="Inter"/>
            </a:endParaRPr>
          </a:p>
        </txPr>
        <crossAx val="10"/>
      </valAx>
      <valAx>
        <axId val="210"/>
        <scaling>
          <orientation val="minMax"/>
        </scaling>
        <axPos val="l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1100" b="0">
                <a:solidFill>
                  <a:srgbClr val="2E6FB0"/>
                </a:solidFill>
                <a:latin typeface="Inter"/>
              </a:defRPr>
            </a:pPr>
            <a:r>
              <a:t/>
            </a:r>
            <a:endParaRPr sz="1100" b="0">
              <a:solidFill>
                <a:srgbClr val="2E6FB0"/>
              </a:solidFill>
              <a:latin typeface="Inter"/>
            </a:endParaRPr>
          </a:p>
        </txPr>
        <crossAx val="10"/>
        <crosses val="max"/>
      </valAx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1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1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1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9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6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9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tabColor rgb="0014233A"/>
    <outlinePr summaryBelow="1" summaryRight="1"/>
    <pageSetUpPr/>
  </sheetPr>
  <dimension ref="B2:C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4" customWidth="1" min="4" max="4"/>
    <col width="30" customWidth="1" min="5" max="5"/>
  </cols>
  <sheetData>
    <row r="2">
      <c r="B2" s="1" t="inlineStr">
        <is>
          <t>CASE DESIGN SYSTEM</t>
        </is>
      </c>
    </row>
    <row r="3">
      <c r="B3" s="2" t="inlineStr">
        <is>
          <t>Excel chart templates — corporate family</t>
        </is>
      </c>
    </row>
    <row r="4" ht="48" customHeight="1">
      <c r="B4" s="3" t="inlineStr">
        <is>
          <t>Native Excel charts pre-styled to tokens/tokens.json and docs/CHART_RULES.md. Edit the blue input cells on any tab; the chart updates live. Paste charts into slides while numbers are still moving; once locked, hand the tab to the SVG builder for the pixel-perfect version (see 'Live data vs locked data' in CHART_RULES).</t>
        </is>
      </c>
    </row>
    <row r="6">
      <c r="B6" s="4" t="inlineStr">
        <is>
          <t>House rules baked into these templates</t>
        </is>
      </c>
    </row>
    <row r="7" ht="26" customHeight="1">
      <c r="B7" s="5" t="inlineStr">
        <is>
          <t>Blue cells = inputs</t>
        </is>
      </c>
      <c r="C7" s="6" t="inlineStr">
        <is>
          <t>Type over them. Grey cells are helper formulas the chart needs — do not delete, they recalc.</t>
        </is>
      </c>
    </row>
    <row r="8" ht="26" customHeight="1">
      <c r="B8" s="5" t="inlineStr">
        <is>
          <t>Direct labels over legends</t>
        </is>
      </c>
      <c r="C8" s="6" t="inlineStr">
        <is>
          <t>Most tabs have data labels on and the value axis off (rule 2). Legends appear only where segments are too thin (stacked bars).</t>
        </is>
      </c>
    </row>
    <row r="9" ht="26" customHeight="1">
      <c r="B9" s="5" t="inlineStr">
        <is>
          <t>Grey the field, colour the hero</t>
        </is>
      </c>
      <c r="C9" s="6" t="inlineStr">
        <is>
          <t>Comparison charts ship with one accent element. To move the hero, recolour the single bar/point in Excel — never add a second accent.</t>
        </is>
      </c>
    </row>
    <row r="10" ht="26" customHeight="1">
      <c r="B10" s="5" t="inlineStr">
        <is>
          <t>Action title lives on the slide</t>
        </is>
      </c>
      <c r="C10" s="6" t="inlineStr">
        <is>
          <t>Charts here carry no title. Write the conclusion as the slide headline ('Revenue grows to $300m by 2028'), not on the chart.</t>
        </is>
      </c>
    </row>
    <row r="11" ht="26" customHeight="1">
      <c r="B11" s="5" t="inlineStr">
        <is>
          <t>Semantic colours are reserved</t>
        </is>
      </c>
      <c r="C11" s="6" t="inlineStr">
        <is>
          <t>Green #2E8B6F = upside, red #C0473E = downside, amber #E0A13C = caution/reference. Never use them for neutral categories.</t>
        </is>
      </c>
    </row>
    <row r="12" ht="26" customHeight="1">
      <c r="B12" s="5" t="inlineStr">
        <is>
          <t>Source line always</t>
        </is>
      </c>
      <c r="C12" s="6" t="inlineStr">
        <is>
          <t>Every tab has a source placeholder. Replace it; bottom-left, italic, grey on the slide.</t>
        </is>
      </c>
    </row>
    <row r="13" ht="26" customHeight="1">
      <c r="B13" s="5" t="inlineStr">
        <is>
          <t>Units once</t>
        </is>
      </c>
      <c r="C13" s="6" t="inlineStr">
        <is>
          <t>State the unit in a top-left note ('Revenues in $m'), one precision per chart.</t>
        </is>
      </c>
    </row>
    <row r="15">
      <c r="B15" s="4" t="inlineStr">
        <is>
          <t>Tab index</t>
        </is>
      </c>
    </row>
    <row r="16">
      <c r="B16" s="7" t="inlineStr">
        <is>
          <t>Waterfall</t>
        </is>
      </c>
      <c r="C16" s="8" t="inlineStr">
        <is>
          <t>Bridge from a start total through deltas to an end total (ref04).</t>
        </is>
      </c>
    </row>
    <row r="17">
      <c r="B17" s="7" t="inlineStr">
        <is>
          <t>Waterfall-H</t>
        </is>
      </c>
      <c r="C17" s="8" t="inlineStr">
        <is>
          <t>Horizontal lever bridge: levers stack top-to-bottom (ref10, rule 18).</t>
        </is>
      </c>
    </row>
    <row r="18">
      <c r="B18" s="7" t="inlineStr">
        <is>
          <t>Football Field</t>
        </is>
      </c>
      <c r="C18" s="8" t="inlineStr">
        <is>
          <t>Valuation ranges by methodology; usually locked → best SVG candidate.</t>
        </is>
      </c>
    </row>
    <row r="19">
      <c r="B19" s="7" t="inlineStr">
        <is>
          <t>Scenario Bars</t>
        </is>
      </c>
      <c r="C19" s="8" t="inlineStr">
        <is>
          <t>Bear / base / bull outcome bars with fixed semantic colours (ref07/12).</t>
        </is>
      </c>
    </row>
    <row r="20">
      <c r="B20" s="7" t="inlineStr">
        <is>
          <t>Build-Up Table</t>
        </is>
      </c>
      <c r="C20" s="8" t="inlineStr">
        <is>
          <t>ARPU × users = revenue bottom-up table, no chart (ref01, rule 15).</t>
        </is>
      </c>
    </row>
    <row r="21">
      <c r="B21" s="7" t="inlineStr">
        <is>
          <t>Column-Hero</t>
        </is>
      </c>
      <c r="C21" s="8" t="inlineStr">
        <is>
          <t>Time series columns, grey field + one accent hero year (rule 4).</t>
        </is>
      </c>
    </row>
    <row r="22">
      <c r="B22" s="7" t="inlineStr">
        <is>
          <t>Bars-Ranking</t>
        </is>
      </c>
      <c r="C22" s="8" t="inlineStr">
        <is>
          <t>Horizontal ranking bars, labels left, hero highlighted (ref11, rule 18).</t>
        </is>
      </c>
    </row>
    <row r="23">
      <c r="B23" s="7" t="inlineStr">
        <is>
          <t>Stacked Bars</t>
        </is>
      </c>
      <c r="C23" s="8" t="inlineStr">
        <is>
          <t>Segments over time; legend allowed because segments are thin (rule 1).</t>
        </is>
      </c>
    </row>
    <row r="24">
      <c r="B24" s="7" t="inlineStr">
        <is>
          <t>Line</t>
        </is>
      </c>
      <c r="C24" s="8" t="inlineStr">
        <is>
          <t>Indexed lines, hero accent vs grey field.</t>
        </is>
      </c>
    </row>
    <row r="25">
      <c r="B25" s="7" t="inlineStr">
        <is>
          <t>Combo Bar+Line</t>
        </is>
      </c>
      <c r="C25" s="8" t="inlineStr">
        <is>
          <t>Bars on left axis, rate line on right axis (rules 27–28).</t>
        </is>
      </c>
    </row>
    <row r="26">
      <c r="B26" s="7" t="inlineStr">
        <is>
          <t>Radar</t>
        </is>
      </c>
      <c r="C26" s="8" t="inlineStr">
        <is>
          <t>Spokes normalised 0–100 before plotting (rules 23–26).</t>
        </is>
      </c>
    </row>
    <row r="27">
      <c r="B27" s="7" t="inlineStr">
        <is>
          <t>Pie</t>
        </is>
      </c>
      <c r="C27" s="8" t="inlineStr">
        <is>
          <t>Share-of-total, ≤5 slices, category+percent labels, no legend.</t>
        </is>
      </c>
    </row>
    <row r="28">
      <c r="B28" s="7" t="inlineStr">
        <is>
          <t>Dual-Axis Lines</t>
        </is>
      </c>
      <c r="C28" s="8" t="inlineStr">
        <is>
          <t>Two units, two scales, right axis coloured like its series (ref16).</t>
        </is>
      </c>
    </row>
    <row r="30">
      <c r="B30" s="4" t="inlineStr">
        <is>
          <t>Palette (corporate)</t>
        </is>
      </c>
    </row>
    <row r="31">
      <c r="B31" s="9" t="inlineStr">
        <is>
          <t>ink  #14233A</t>
        </is>
      </c>
      <c r="C31" s="8" t="inlineStr">
        <is>
          <t>Headline text</t>
        </is>
      </c>
    </row>
    <row r="32">
      <c r="B32" s="10" t="inlineStr">
        <is>
          <t>navy  #1F3A52</t>
        </is>
      </c>
      <c r="C32" s="8" t="inlineStr">
        <is>
          <t>Primary bars, headers</t>
        </is>
      </c>
    </row>
    <row r="33">
      <c r="B33" s="11" t="inlineStr">
        <is>
          <t>accent  #2E6FB0</t>
        </is>
      </c>
      <c r="C33" s="8" t="inlineStr">
        <is>
          <t>The single hero</t>
        </is>
      </c>
    </row>
    <row r="34">
      <c r="B34" s="12" t="inlineStr">
        <is>
          <t>blueMid  #5B8FC7</t>
        </is>
      </c>
      <c r="C34" s="8" t="inlineStr">
        <is>
          <t>Secondary series</t>
        </is>
      </c>
    </row>
    <row r="35">
      <c r="B35" s="13" t="inlineStr">
        <is>
          <t>blueLight  #A9C4DD</t>
        </is>
      </c>
      <c r="C35" s="8" t="inlineStr">
        <is>
          <t>Tertiary series</t>
        </is>
      </c>
    </row>
    <row r="36">
      <c r="B36" s="14" t="inlineStr">
        <is>
          <t>slate  #5B6B79</t>
        </is>
      </c>
      <c r="C36" s="8" t="inlineStr">
        <is>
          <t>Muted labels, source</t>
        </is>
      </c>
    </row>
    <row r="37">
      <c r="B37" s="15" t="inlineStr">
        <is>
          <t>gridline  #C9D2DA</t>
        </is>
      </c>
      <c r="C37" s="8" t="inlineStr">
        <is>
          <t>Axes, faint gridlines, grey field bars</t>
        </is>
      </c>
    </row>
    <row r="38">
      <c r="B38" s="16" t="inlineStr">
        <is>
          <t>panel  #F4F6F7</t>
        </is>
      </c>
      <c r="C38" s="8" t="inlineStr">
        <is>
          <t>Panel background</t>
        </is>
      </c>
    </row>
    <row r="39">
      <c r="B39" s="17" t="inlineStr">
        <is>
          <t>positive  #2E8B6F</t>
        </is>
      </c>
      <c r="C39" s="8" t="inlineStr">
        <is>
          <t>Upside only</t>
        </is>
      </c>
    </row>
    <row r="40">
      <c r="B40" s="18" t="inlineStr">
        <is>
          <t>negative  #C0473E</t>
        </is>
      </c>
      <c r="C40" s="8" t="inlineStr">
        <is>
          <t>Downside only</t>
        </is>
      </c>
    </row>
    <row r="41">
      <c r="B41" s="19" t="inlineStr">
        <is>
          <t>caution  #E0A13C</t>
        </is>
      </c>
      <c r="C41" s="8" t="inlineStr">
        <is>
          <t>Reference lines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2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FINANCE EXHIBIT</t>
        </is>
      </c>
    </row>
    <row r="2">
      <c r="A2" s="20" t="inlineStr">
        <is>
          <t>Waterfall / bridge — start → deltas → end</t>
        </is>
      </c>
    </row>
    <row r="3">
      <c r="A3" s="8" t="inlineStr">
        <is>
          <t>Edit labels and blue deltas. Bases recompute; totals are formulas. Values in $m.</t>
        </is>
      </c>
    </row>
    <row r="5">
      <c r="A5" s="21" t="inlineStr">
        <is>
          <t>Step</t>
        </is>
      </c>
      <c r="B5" s="22" t="inlineStr">
        <is>
          <t>Delta</t>
        </is>
      </c>
      <c r="C5" s="22" t="inlineStr">
        <is>
          <t>Cum.</t>
        </is>
      </c>
      <c r="D5" s="22" t="inlineStr">
        <is>
          <t>base</t>
        </is>
      </c>
      <c r="E5" s="22" t="inlineStr">
        <is>
          <t>up</t>
        </is>
      </c>
      <c r="F5" s="22" t="inlineStr">
        <is>
          <t>down</t>
        </is>
      </c>
      <c r="G5" s="22" t="inlineStr">
        <is>
          <t>total</t>
        </is>
      </c>
    </row>
    <row r="6">
      <c r="A6" s="4" t="inlineStr">
        <is>
          <t>FY24 revenue</t>
        </is>
      </c>
      <c r="B6" s="23" t="n">
        <v>240</v>
      </c>
      <c r="C6" s="24">
        <f>B6</f>
        <v/>
      </c>
      <c r="D6" s="24" t="n">
        <v>0</v>
      </c>
      <c r="E6" s="24">
        <f>NA()</f>
        <v/>
      </c>
      <c r="F6" s="24">
        <f>NA()</f>
        <v/>
      </c>
      <c r="G6" s="24">
        <f>B6</f>
        <v/>
      </c>
    </row>
    <row r="7">
      <c r="A7" s="25" t="inlineStr">
        <is>
          <t>Volume growth</t>
        </is>
      </c>
      <c r="B7" s="23" t="n">
        <v>45</v>
      </c>
      <c r="C7" s="24">
        <f>C6+B7</f>
        <v/>
      </c>
      <c r="D7" s="24">
        <f>IF(B7&gt;=0,C6,C7)</f>
        <v/>
      </c>
      <c r="E7" s="24">
        <f>IF(B7&gt;=0,B7,NA())</f>
        <v/>
      </c>
      <c r="F7" s="24">
        <f>IF(B7&lt;0,-B7,NA())</f>
        <v/>
      </c>
      <c r="G7" s="24">
        <f>NA()</f>
        <v/>
      </c>
    </row>
    <row r="8">
      <c r="A8" s="25" t="inlineStr">
        <is>
          <t>Pricing</t>
        </is>
      </c>
      <c r="B8" s="23" t="n">
        <v>30</v>
      </c>
      <c r="C8" s="24">
        <f>C7+B8</f>
        <v/>
      </c>
      <c r="D8" s="24">
        <f>IF(B8&gt;=0,C7,C8)</f>
        <v/>
      </c>
      <c r="E8" s="24">
        <f>IF(B8&gt;=0,B8,NA())</f>
        <v/>
      </c>
      <c r="F8" s="24">
        <f>IF(B8&lt;0,-B8,NA())</f>
        <v/>
      </c>
      <c r="G8" s="24">
        <f>NA()</f>
        <v/>
      </c>
    </row>
    <row r="9">
      <c r="A9" s="25" t="inlineStr">
        <is>
          <t>FX headwind</t>
        </is>
      </c>
      <c r="B9" s="23" t="n">
        <v>-12</v>
      </c>
      <c r="C9" s="24">
        <f>C8+B9</f>
        <v/>
      </c>
      <c r="D9" s="24">
        <f>IF(B9&gt;=0,C8,C9)</f>
        <v/>
      </c>
      <c r="E9" s="24">
        <f>IF(B9&gt;=0,B9,NA())</f>
        <v/>
      </c>
      <c r="F9" s="24">
        <f>IF(B9&lt;0,-B9,NA())</f>
        <v/>
      </c>
      <c r="G9" s="24">
        <f>NA()</f>
        <v/>
      </c>
    </row>
    <row r="10">
      <c r="A10" s="25" t="inlineStr">
        <is>
          <t>Churn</t>
        </is>
      </c>
      <c r="B10" s="23" t="n">
        <v>-18</v>
      </c>
      <c r="C10" s="24">
        <f>C9+B10</f>
        <v/>
      </c>
      <c r="D10" s="24">
        <f>IF(B10&gt;=0,C9,C10)</f>
        <v/>
      </c>
      <c r="E10" s="24">
        <f>IF(B10&gt;=0,B10,NA())</f>
        <v/>
      </c>
      <c r="F10" s="24">
        <f>IF(B10&lt;0,-B10,NA())</f>
        <v/>
      </c>
      <c r="G10" s="24">
        <f>NA()</f>
        <v/>
      </c>
    </row>
    <row r="11">
      <c r="A11" s="4" t="inlineStr">
        <is>
          <t>FY28 revenue</t>
        </is>
      </c>
      <c r="B11" s="26">
        <f>C10</f>
        <v/>
      </c>
      <c r="C11" s="24">
        <f>B11</f>
        <v/>
      </c>
      <c r="D11" s="24" t="n">
        <v>0</v>
      </c>
      <c r="E11" s="24">
        <f>NA()</f>
        <v/>
      </c>
      <c r="F11" s="24">
        <f>NA()</f>
        <v/>
      </c>
      <c r="G11" s="24">
        <f>B11</f>
        <v/>
      </c>
    </row>
    <row r="14">
      <c r="A14" s="1" t="inlineStr">
        <is>
          <t>HOW TO USE THIS TAB</t>
        </is>
      </c>
    </row>
    <row r="15">
      <c r="A15" s="8" t="inlineStr">
        <is>
          <t>• Add a step: insert a row inside the delta block, copy formulas C:G from the row above, extend the chart range.</t>
        </is>
      </c>
    </row>
    <row r="16">
      <c r="A16" s="8" t="inlineStr">
        <is>
          <t>• Green/red are semantic (rule 5); the endpoint bars stay navy. Do not recolour deltas.</t>
        </is>
      </c>
    </row>
    <row r="17">
      <c r="A17" s="8" t="inlineStr">
        <is>
          <t>• Labels sit inside segments (Excel limit); the SVG waterfall component floats them above — hand off once locked.</t>
        </is>
      </c>
    </row>
    <row r="19">
      <c r="A19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A52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FINANCE EXHIBIT</t>
        </is>
      </c>
    </row>
    <row r="2">
      <c r="A2" s="20" t="inlineStr">
        <is>
          <t>Horizontal waterfall — cost/lever bridge</t>
        </is>
      </c>
    </row>
    <row r="3">
      <c r="A3" s="8" t="inlineStr">
        <is>
          <t>Levers stack top-to-bottom from start to end (ref10, rule 18). Values in $/unit.</t>
        </is>
      </c>
    </row>
    <row r="5">
      <c r="A5" s="21" t="inlineStr">
        <is>
          <t>Lever</t>
        </is>
      </c>
      <c r="B5" s="22" t="inlineStr">
        <is>
          <t>Delta</t>
        </is>
      </c>
      <c r="C5" s="22" t="inlineStr">
        <is>
          <t>Cum.</t>
        </is>
      </c>
      <c r="D5" s="22" t="inlineStr">
        <is>
          <t>base</t>
        </is>
      </c>
      <c r="E5" s="22" t="inlineStr">
        <is>
          <t>up</t>
        </is>
      </c>
      <c r="F5" s="22" t="inlineStr">
        <is>
          <t>down</t>
        </is>
      </c>
      <c r="G5" s="22" t="inlineStr">
        <is>
          <t>total</t>
        </is>
      </c>
    </row>
    <row r="6">
      <c r="A6" s="4" t="inlineStr">
        <is>
          <t>Cost today</t>
        </is>
      </c>
      <c r="B6" s="23" t="n">
        <v>100</v>
      </c>
      <c r="C6" s="24">
        <f>B6</f>
        <v/>
      </c>
      <c r="D6" s="24" t="n">
        <v>0</v>
      </c>
      <c r="E6" s="24">
        <f>NA()</f>
        <v/>
      </c>
      <c r="F6" s="24">
        <f>NA()</f>
        <v/>
      </c>
      <c r="G6" s="24">
        <f>B6</f>
        <v/>
      </c>
    </row>
    <row r="7">
      <c r="A7" s="25" t="inlineStr">
        <is>
          <t>Automation</t>
        </is>
      </c>
      <c r="B7" s="23" t="n">
        <v>-18</v>
      </c>
      <c r="C7" s="24">
        <f>C6+B7</f>
        <v/>
      </c>
      <c r="D7" s="24">
        <f>IF(B7&gt;=0,C6,C7)</f>
        <v/>
      </c>
      <c r="E7" s="24">
        <f>IF(B7&gt;=0,B7,NA())</f>
        <v/>
      </c>
      <c r="F7" s="24">
        <f>IF(B7&lt;0,-B7,NA())</f>
        <v/>
      </c>
      <c r="G7" s="24">
        <f>NA()</f>
        <v/>
      </c>
    </row>
    <row r="8">
      <c r="A8" s="25" t="inlineStr">
        <is>
          <t>Scale effects</t>
        </is>
      </c>
      <c r="B8" s="23" t="n">
        <v>-14</v>
      </c>
      <c r="C8" s="24">
        <f>C7+B8</f>
        <v/>
      </c>
      <c r="D8" s="24">
        <f>IF(B8&gt;=0,C7,C8)</f>
        <v/>
      </c>
      <c r="E8" s="24">
        <f>IF(B8&gt;=0,B8,NA())</f>
        <v/>
      </c>
      <c r="F8" s="24">
        <f>IF(B8&lt;0,-B8,NA())</f>
        <v/>
      </c>
      <c r="G8" s="24">
        <f>NA()</f>
        <v/>
      </c>
    </row>
    <row r="9">
      <c r="A9" s="25" t="inlineStr">
        <is>
          <t>Energy mix</t>
        </is>
      </c>
      <c r="B9" s="23" t="n">
        <v>-9</v>
      </c>
      <c r="C9" s="24">
        <f>C8+B9</f>
        <v/>
      </c>
      <c r="D9" s="24">
        <f>IF(B9&gt;=0,C8,C9)</f>
        <v/>
      </c>
      <c r="E9" s="24">
        <f>IF(B9&gt;=0,B9,NA())</f>
        <v/>
      </c>
      <c r="F9" s="24">
        <f>IF(B9&lt;0,-B9,NA())</f>
        <v/>
      </c>
      <c r="G9" s="24">
        <f>NA()</f>
        <v/>
      </c>
    </row>
    <row r="10">
      <c r="A10" s="25" t="inlineStr">
        <is>
          <t>Logistics</t>
        </is>
      </c>
      <c r="B10" s="23" t="n">
        <v>-5</v>
      </c>
      <c r="C10" s="24">
        <f>C9+B10</f>
        <v/>
      </c>
      <c r="D10" s="24">
        <f>IF(B10&gt;=0,C9,C10)</f>
        <v/>
      </c>
      <c r="E10" s="24">
        <f>IF(B10&gt;=0,B10,NA())</f>
        <v/>
      </c>
      <c r="F10" s="24">
        <f>IF(B10&lt;0,-B10,NA())</f>
        <v/>
      </c>
      <c r="G10" s="24">
        <f>NA()</f>
        <v/>
      </c>
    </row>
    <row r="11">
      <c r="A11" s="4" t="inlineStr">
        <is>
          <t>Cost 2030</t>
        </is>
      </c>
      <c r="B11" s="26">
        <f>C10</f>
        <v/>
      </c>
      <c r="C11" s="24">
        <f>B11</f>
        <v/>
      </c>
      <c r="D11" s="24" t="n">
        <v>0</v>
      </c>
      <c r="E11" s="24">
        <f>NA()</f>
        <v/>
      </c>
      <c r="F11" s="24">
        <f>NA()</f>
        <v/>
      </c>
      <c r="G11" s="24">
        <f>B11</f>
        <v/>
      </c>
    </row>
    <row r="14">
      <c r="A14" s="1" t="inlineStr">
        <is>
          <t>HOW TO USE THIS TAB</t>
        </is>
      </c>
    </row>
    <row r="15">
      <c r="A15" s="8" t="inlineStr">
        <is>
          <t>• Reads top-to-bottom: start total, then each lever connects to the running total, end total at the foot.</t>
        </is>
      </c>
    </row>
    <row r="16">
      <c r="A16" s="8" t="inlineStr">
        <is>
          <t>• The navy % chip (J17) is the bold delta callout from ref10 — paste it beside the chart on the slide.</t>
        </is>
      </c>
    </row>
    <row r="17">
      <c r="A17" s="8" t="inlineStr">
        <is>
          <t>• Annotation column explaining each lever goes on the slide to the right of the chart, not in the chart.</t>
        </is>
      </c>
      <c r="I17" s="8" t="inlineStr">
        <is>
          <t>Delta chip:</t>
        </is>
      </c>
      <c r="J17" s="28">
        <f>(G11-G6)/G6</f>
        <v/>
      </c>
    </row>
    <row r="19">
      <c r="A19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3A52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FINANCE EXHIBIT</t>
        </is>
      </c>
    </row>
    <row r="2">
      <c r="A2" s="20" t="inlineStr">
        <is>
          <t>Football field — valuation ranges by methodology</t>
        </is>
      </c>
    </row>
    <row r="3">
      <c r="A3" s="8" t="inlineStr">
        <is>
          <t>Edit blue low/high per methodology and the current price. Values in $/share.</t>
        </is>
      </c>
    </row>
    <row r="5">
      <c r="A5" s="21" t="inlineStr">
        <is>
          <t>Methodology</t>
        </is>
      </c>
      <c r="B5" s="22" t="inlineStr">
        <is>
          <t>Low</t>
        </is>
      </c>
      <c r="C5" s="22" t="inlineStr">
        <is>
          <t>High</t>
        </is>
      </c>
      <c r="D5" s="22" t="inlineStr">
        <is>
          <t>base</t>
        </is>
      </c>
      <c r="E5" s="22" t="inlineStr">
        <is>
          <t>range</t>
        </is>
      </c>
    </row>
    <row r="6">
      <c r="A6" s="25" t="inlineStr">
        <is>
          <t>52-week range</t>
        </is>
      </c>
      <c r="B6" s="29" t="n">
        <v>18</v>
      </c>
      <c r="C6" s="29" t="n">
        <v>31</v>
      </c>
      <c r="D6" s="30">
        <f>B6</f>
        <v/>
      </c>
      <c r="E6" s="30">
        <f>C6-B6</f>
        <v/>
      </c>
    </row>
    <row r="7">
      <c r="A7" s="25" t="inlineStr">
        <is>
          <t>Analyst targets</t>
        </is>
      </c>
      <c r="B7" s="29" t="n">
        <v>24</v>
      </c>
      <c r="C7" s="29" t="n">
        <v>38</v>
      </c>
      <c r="D7" s="30">
        <f>B7</f>
        <v/>
      </c>
      <c r="E7" s="30">
        <f>C7-B7</f>
        <v/>
      </c>
    </row>
    <row r="8">
      <c r="A8" s="25" t="inlineStr">
        <is>
          <t>Trading comps</t>
        </is>
      </c>
      <c r="B8" s="29" t="n">
        <v>26</v>
      </c>
      <c r="C8" s="29" t="n">
        <v>40</v>
      </c>
      <c r="D8" s="30">
        <f>B8</f>
        <v/>
      </c>
      <c r="E8" s="30">
        <f>C8-B8</f>
        <v/>
      </c>
    </row>
    <row r="9">
      <c r="A9" s="25" t="inlineStr">
        <is>
          <t>Precedent transactions</t>
        </is>
      </c>
      <c r="B9" s="29" t="n">
        <v>30</v>
      </c>
      <c r="C9" s="29" t="n">
        <v>46</v>
      </c>
      <c r="D9" s="30">
        <f>B9</f>
        <v/>
      </c>
      <c r="E9" s="30">
        <f>C9-B9</f>
        <v/>
      </c>
    </row>
    <row r="10">
      <c r="A10" s="25" t="inlineStr">
        <is>
          <t>DCF</t>
        </is>
      </c>
      <c r="B10" s="29" t="n">
        <v>32</v>
      </c>
      <c r="C10" s="29" t="n">
        <v>50</v>
      </c>
      <c r="D10" s="30">
        <f>B10</f>
        <v/>
      </c>
      <c r="E10" s="30">
        <f>C10-B10</f>
        <v/>
      </c>
    </row>
    <row r="12">
      <c r="A12" s="4" t="inlineStr">
        <is>
          <t>Current share price</t>
        </is>
      </c>
      <c r="B12" s="31" t="n">
        <v>28</v>
      </c>
    </row>
    <row r="14">
      <c r="A14" s="1" t="inlineStr">
        <is>
          <t>HOW TO USE THIS TAB</t>
        </is>
      </c>
    </row>
    <row r="15">
      <c r="A15" s="8" t="inlineStr">
        <is>
          <t>• Value axis stays on with faint gridlines — the reader must read prices off it (rule 7 exception).</t>
        </is>
      </c>
    </row>
    <row r="16">
      <c r="A16" s="8" t="inlineStr">
        <is>
          <t>• Hero methodology (DCF) is navy; the field is light blue. Move the hero by recolouring a single bar.</t>
        </is>
      </c>
    </row>
    <row r="17">
      <c r="A17" s="8" t="inlineStr">
        <is>
          <t>• Excel cannot draw the amber current-price line natively: add a vertical line shape at $ current price, or hand off to components/charts-finance/football-field once numbers lock.</t>
        </is>
      </c>
    </row>
    <row r="19">
      <c r="A19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3A52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FINANCE EXHIBIT</t>
        </is>
      </c>
    </row>
    <row r="2">
      <c r="A2" s="20" t="inlineStr">
        <is>
          <t>Scenario bars — bear / base / bull</t>
        </is>
      </c>
    </row>
    <row r="3">
      <c r="A3" s="8" t="inlineStr">
        <is>
          <t>Edit blue price targets. Colours are fixed semantics: red bear, blue base, green bull.</t>
        </is>
      </c>
    </row>
    <row r="5">
      <c r="A5" s="21" t="inlineStr">
        <is>
          <t>Scenario</t>
        </is>
      </c>
      <c r="B5" s="22" t="inlineStr">
        <is>
          <t>Price target</t>
        </is>
      </c>
    </row>
    <row r="6">
      <c r="A6" s="25" t="inlineStr">
        <is>
          <t>Bear</t>
        </is>
      </c>
      <c r="B6" s="29" t="n">
        <v>18</v>
      </c>
    </row>
    <row r="7">
      <c r="A7" s="25" t="inlineStr">
        <is>
          <t>Base</t>
        </is>
      </c>
      <c r="B7" s="29" t="n">
        <v>27</v>
      </c>
    </row>
    <row r="8">
      <c r="A8" s="25" t="inlineStr">
        <is>
          <t>Bull</t>
        </is>
      </c>
      <c r="B8" s="29" t="n">
        <v>36</v>
      </c>
    </row>
    <row r="10">
      <c r="A10" s="4" t="inlineStr">
        <is>
          <t>Current price</t>
        </is>
      </c>
      <c r="B10" s="31" t="n">
        <v>22</v>
      </c>
    </row>
    <row r="13">
      <c r="A13" s="1" t="inlineStr">
        <is>
          <t>HOW TO USE THIS TAB</t>
        </is>
      </c>
    </row>
    <row r="14">
      <c r="A14" s="8" t="inlineStr">
        <is>
          <t>• Bear/base/bull colour mapping is fixed in the token aliases — never repurpose it.</t>
        </is>
      </c>
    </row>
    <row r="15">
      <c r="A15" s="8" t="inlineStr">
        <is>
          <t>• Add the upside vs current price as a label or oval CAGR-style chip on the slide (ref08).</t>
        </is>
      </c>
    </row>
    <row r="17">
      <c r="A17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3A52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FINANCE EXHIBIT</t>
        </is>
      </c>
    </row>
    <row r="2">
      <c r="A2" s="20" t="inlineStr">
        <is>
          <t>Bottom-up build-up: users × ARPU = revenue</t>
        </is>
      </c>
    </row>
    <row r="3">
      <c r="A3" s="8" t="inlineStr">
        <is>
          <t>Edit blue driver rows; revenue and growth are formulas. Show the arithmetic (rule 15).</t>
        </is>
      </c>
    </row>
    <row r="5">
      <c r="A5" s="32" t="inlineStr">
        <is>
          <t>$m unless noted</t>
        </is>
      </c>
      <c r="B5" s="33" t="inlineStr">
        <is>
          <t>FY24</t>
        </is>
      </c>
      <c r="C5" s="33" t="inlineStr">
        <is>
          <t>FY25</t>
        </is>
      </c>
      <c r="D5" s="33" t="inlineStr">
        <is>
          <t>FY26</t>
        </is>
      </c>
      <c r="E5" s="33" t="inlineStr">
        <is>
          <t>FY27</t>
        </is>
      </c>
      <c r="F5" s="33" t="inlineStr">
        <is>
          <t>FY28</t>
        </is>
      </c>
    </row>
    <row r="6">
      <c r="A6" s="25" t="inlineStr">
        <is>
          <t>Users (m)</t>
        </is>
      </c>
      <c r="B6" s="34" t="n">
        <v>10</v>
      </c>
      <c r="C6" s="34" t="n">
        <v>11.5</v>
      </c>
      <c r="D6" s="34" t="n">
        <v>13.2</v>
      </c>
      <c r="E6" s="34" t="n">
        <v>15</v>
      </c>
      <c r="F6" s="34" t="n">
        <v>16.8</v>
      </c>
    </row>
    <row r="7">
      <c r="A7" s="25" t="inlineStr">
        <is>
          <t>× ARPU ($)</t>
        </is>
      </c>
      <c r="B7" s="34" t="n">
        <v>24</v>
      </c>
      <c r="C7" s="34" t="n">
        <v>25.2</v>
      </c>
      <c r="D7" s="34" t="n">
        <v>26.5</v>
      </c>
      <c r="E7" s="34" t="n">
        <v>27.8</v>
      </c>
      <c r="F7" s="34" t="n">
        <v>29.2</v>
      </c>
    </row>
    <row r="8">
      <c r="A8" s="35">
        <f>"= Revenue ($m)"</f>
        <v/>
      </c>
      <c r="B8" s="36">
        <f>B6*B7</f>
        <v/>
      </c>
      <c r="C8" s="36">
        <f>C6*C7</f>
        <v/>
      </c>
      <c r="D8" s="36">
        <f>D6*D7</f>
        <v/>
      </c>
      <c r="E8" s="36">
        <f>E6*E7</f>
        <v/>
      </c>
      <c r="F8" s="36">
        <f>F6*F7</f>
        <v/>
      </c>
    </row>
    <row r="9">
      <c r="A9" s="25" t="inlineStr">
        <is>
          <t>YoY growth</t>
        </is>
      </c>
      <c r="B9" s="37" t="inlineStr">
        <is>
          <t>—</t>
        </is>
      </c>
      <c r="C9" s="38">
        <f>C8/B8-1</f>
        <v/>
      </c>
      <c r="D9" s="38">
        <f>D8/C8-1</f>
        <v/>
      </c>
      <c r="E9" s="38">
        <f>E8/D8-1</f>
        <v/>
      </c>
      <c r="F9" s="38">
        <f>F8/E8-1</f>
        <v/>
      </c>
    </row>
    <row r="11">
      <c r="A11" s="4" t="inlineStr">
        <is>
          <t>Revenue CAGR FY24–28</t>
        </is>
      </c>
      <c r="B11" s="39">
        <f>(F8/B8)^(1/4)-1</f>
        <v/>
      </c>
    </row>
    <row r="13">
      <c r="A13" s="1" t="inlineStr">
        <is>
          <t>HOW TO USE THIS TAB</t>
        </is>
      </c>
    </row>
    <row r="14">
      <c r="A14" s="8" t="inlineStr">
        <is>
          <t>• Tables use horizontal rules only (rule 20): rule under the header, rule above the total row.</t>
        </is>
      </c>
    </row>
    <row r="15">
      <c r="A15" s="8" t="inlineStr">
        <is>
          <t>• Right-align numbers, one precision per row (rules 11–12). Unit stated once in the corner cell.</t>
        </is>
      </c>
    </row>
    <row r="16">
      <c r="A16" s="8" t="inlineStr">
        <is>
          <t>• Close the slide with a navy takeaway strip stating the conclusion (ref01, rule 17).</t>
        </is>
      </c>
    </row>
    <row r="18">
      <c r="A18" s="27" t="inlineStr">
        <is>
          <t>Source: [replace before presenting — source line is mandatory on every exhibit]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6FB0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CORE CHART</t>
        </is>
      </c>
    </row>
    <row r="2">
      <c r="A2" s="20" t="inlineStr">
        <is>
          <t>Columns over time — grey field, one hero</t>
        </is>
      </c>
    </row>
    <row r="3">
      <c r="A3" s="8" t="inlineStr">
        <is>
          <t>Edit blue values. The hero year is accent; every other bar stays grey (rule 4).</t>
        </is>
      </c>
    </row>
    <row r="5">
      <c r="A5" s="21" t="inlineStr">
        <is>
          <t>Year</t>
        </is>
      </c>
      <c r="B5" s="22" t="inlineStr">
        <is>
          <t>Revenue ($m)</t>
        </is>
      </c>
    </row>
    <row r="6">
      <c r="A6" s="25" t="inlineStr">
        <is>
          <t>FY22</t>
        </is>
      </c>
      <c r="B6" s="23" t="n">
        <v>120</v>
      </c>
    </row>
    <row r="7">
      <c r="A7" s="25" t="inlineStr">
        <is>
          <t>FY23</t>
        </is>
      </c>
      <c r="B7" s="23" t="n">
        <v>138</v>
      </c>
    </row>
    <row r="8">
      <c r="A8" s="25" t="inlineStr">
        <is>
          <t>FY24</t>
        </is>
      </c>
      <c r="B8" s="23" t="n">
        <v>161</v>
      </c>
    </row>
    <row r="9">
      <c r="A9" s="25" t="inlineStr">
        <is>
          <t>FY25</t>
        </is>
      </c>
      <c r="B9" s="23" t="n">
        <v>190</v>
      </c>
    </row>
    <row r="10">
      <c r="A10" s="25" t="inlineStr">
        <is>
          <t>FY26</t>
        </is>
      </c>
      <c r="B10" s="23" t="n">
        <v>224</v>
      </c>
    </row>
    <row r="11">
      <c r="A11" s="25" t="inlineStr">
        <is>
          <t>FY27</t>
        </is>
      </c>
      <c r="B11" s="23" t="n">
        <v>262</v>
      </c>
    </row>
    <row r="12">
      <c r="A12" s="25" t="inlineStr">
        <is>
          <t>FY28</t>
        </is>
      </c>
      <c r="B12" s="23" t="n">
        <v>300</v>
      </c>
    </row>
    <row r="15">
      <c r="A15" s="1" t="inlineStr">
        <is>
          <t>HOW TO USE THIS TAB</t>
        </is>
      </c>
    </row>
    <row r="16">
      <c r="A16" s="8" t="inlineStr">
        <is>
          <t>• Labels on, axis off (rule 2). One accent max (rule 6) — move it, don't add a second.</t>
        </is>
      </c>
    </row>
    <row r="17">
      <c r="A17" s="8" t="inlineStr">
        <is>
          <t>• The hero's label can be bolded/enlarged in Excel to be the loudest number (rule 3).</t>
        </is>
      </c>
    </row>
    <row r="19">
      <c r="A19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6FB0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CORE CHART</t>
        </is>
      </c>
    </row>
    <row r="2">
      <c r="A2" s="20" t="inlineStr">
        <is>
          <t>Horizontal ranking bars</t>
        </is>
      </c>
    </row>
    <row r="3">
      <c r="A3" s="8" t="inlineStr">
        <is>
          <t>Ranking/scenario lists read sideways with labels on the left (rule 18, ref11).</t>
        </is>
      </c>
    </row>
    <row r="5">
      <c r="A5" s="21" t="inlineStr">
        <is>
          <t>Player</t>
        </is>
      </c>
      <c r="B5" s="22" t="inlineStr">
        <is>
          <t>Share (%)</t>
        </is>
      </c>
    </row>
    <row r="6">
      <c r="A6" s="25" t="inlineStr">
        <is>
          <t>Peer A</t>
        </is>
      </c>
      <c r="B6" s="23" t="n">
        <v>24</v>
      </c>
    </row>
    <row r="7">
      <c r="A7" s="25" t="inlineStr">
        <is>
          <t>Us</t>
        </is>
      </c>
      <c r="B7" s="23" t="n">
        <v>21</v>
      </c>
    </row>
    <row r="8">
      <c r="A8" s="25" t="inlineStr">
        <is>
          <t>Peer B</t>
        </is>
      </c>
      <c r="B8" s="23" t="n">
        <v>18</v>
      </c>
    </row>
    <row r="9">
      <c r="A9" s="25" t="inlineStr">
        <is>
          <t>Peer C</t>
        </is>
      </c>
      <c r="B9" s="23" t="n">
        <v>12</v>
      </c>
    </row>
    <row r="10">
      <c r="A10" s="25" t="inlineStr">
        <is>
          <t>Peer D</t>
        </is>
      </c>
      <c r="B10" s="23" t="n">
        <v>8</v>
      </c>
    </row>
    <row r="13">
      <c r="A13" s="1" t="inlineStr">
        <is>
          <t>HOW TO USE THIS TAB</t>
        </is>
      </c>
    </row>
    <row r="14">
      <c r="A14" s="8" t="inlineStr">
        <is>
          <t>• Sort the input rows descending yourself — the chart plots in row order, first row on top.</t>
        </is>
      </c>
    </row>
    <row r="15">
      <c r="A15" s="8" t="inlineStr">
        <is>
          <t>• The hero bar is wired to row 2 ('Us'). If the ranking changes, move the accent to the new hero row.</t>
        </is>
      </c>
    </row>
    <row r="17">
      <c r="A17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E6FB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CORE CHART</t>
        </is>
      </c>
    </row>
    <row r="2">
      <c r="A2" s="20" t="inlineStr">
        <is>
          <t>Stacked bars by segment</t>
        </is>
      </c>
    </row>
    <row r="3">
      <c r="A3" s="8" t="inlineStr">
        <is>
          <t>Legend is the fallback here because segments are thin (rule 1). Values in $m.</t>
        </is>
      </c>
    </row>
    <row r="5">
      <c r="A5" s="21" t="inlineStr">
        <is>
          <t>Segment</t>
        </is>
      </c>
      <c r="B5" s="22" t="inlineStr">
        <is>
          <t>FY25</t>
        </is>
      </c>
      <c r="C5" s="22" t="inlineStr">
        <is>
          <t>FY26</t>
        </is>
      </c>
      <c r="D5" s="22" t="inlineStr">
        <is>
          <t>FY27</t>
        </is>
      </c>
      <c r="E5" s="22" t="inlineStr">
        <is>
          <t>FY28</t>
        </is>
      </c>
    </row>
    <row r="6">
      <c r="A6" s="25" t="inlineStr">
        <is>
          <t>Core</t>
        </is>
      </c>
      <c r="B6" s="23" t="n">
        <v>140</v>
      </c>
      <c r="C6" s="23" t="n">
        <v>152</v>
      </c>
      <c r="D6" s="23" t="n">
        <v>163</v>
      </c>
      <c r="E6" s="23" t="n">
        <v>172</v>
      </c>
    </row>
    <row r="7">
      <c r="A7" s="25" t="inlineStr">
        <is>
          <t>Growth</t>
        </is>
      </c>
      <c r="B7" s="23" t="n">
        <v>34</v>
      </c>
      <c r="C7" s="23" t="n">
        <v>52</v>
      </c>
      <c r="D7" s="23" t="n">
        <v>74</v>
      </c>
      <c r="E7" s="23" t="n">
        <v>96</v>
      </c>
    </row>
    <row r="8">
      <c r="A8" s="25" t="inlineStr">
        <is>
          <t>New bets</t>
        </is>
      </c>
      <c r="B8" s="23" t="n">
        <v>8</v>
      </c>
      <c r="C8" s="23" t="n">
        <v>16</v>
      </c>
      <c r="D8" s="23" t="n">
        <v>27</v>
      </c>
      <c r="E8" s="23" t="n">
        <v>40</v>
      </c>
    </row>
    <row r="11">
      <c r="A11" s="1" t="inlineStr">
        <is>
          <t>HOW TO USE THIS TAB</t>
        </is>
      </c>
    </row>
    <row r="12">
      <c r="A12" s="8" t="inlineStr">
        <is>
          <t>• Series palette runs navy → blueMid → blueLight, biggest segment darkest and at the base.</t>
        </is>
      </c>
    </row>
    <row r="13">
      <c r="A13" s="8" t="inlineStr">
        <is>
          <t>• Label the largest segments directly even with a legend on (rule 1).</t>
        </is>
      </c>
    </row>
    <row r="14">
      <c r="A14" s="8" t="inlineStr">
        <is>
          <t>• Summary total ovals or a CAGR arrow across bar tops are slide annotations (ref09/13), added after paste.</t>
        </is>
      </c>
    </row>
    <row r="16">
      <c r="A16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E6FB0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CORE CHART</t>
        </is>
      </c>
    </row>
    <row r="2">
      <c r="A2" s="20" t="inlineStr">
        <is>
          <t>Lines over time — hero vs field</t>
        </is>
      </c>
    </row>
    <row r="3">
      <c r="A3" s="8" t="inlineStr">
        <is>
          <t>Indexed series (100 = 2019). Hero is accent and thicker; the field is grey.</t>
        </is>
      </c>
    </row>
    <row r="5">
      <c r="A5" s="21" t="inlineStr">
        <is>
          <t>Series</t>
        </is>
      </c>
      <c r="B5" s="22" t="inlineStr">
        <is>
          <t>2019</t>
        </is>
      </c>
      <c r="C5" s="22" t="inlineStr">
        <is>
          <t>2020</t>
        </is>
      </c>
      <c r="D5" s="22" t="inlineStr">
        <is>
          <t>2021</t>
        </is>
      </c>
      <c r="E5" s="22" t="inlineStr">
        <is>
          <t>2022</t>
        </is>
      </c>
      <c r="F5" s="22" t="inlineStr">
        <is>
          <t>2023</t>
        </is>
      </c>
      <c r="G5" s="22" t="inlineStr">
        <is>
          <t>2024</t>
        </is>
      </c>
      <c r="H5" s="22" t="inlineStr">
        <is>
          <t>2025</t>
        </is>
      </c>
    </row>
    <row r="6">
      <c r="A6" s="25" t="inlineStr">
        <is>
          <t>Us</t>
        </is>
      </c>
      <c r="B6" s="23" t="n">
        <v>100</v>
      </c>
      <c r="C6" s="23" t="n">
        <v>104</v>
      </c>
      <c r="D6" s="23" t="n">
        <v>118</v>
      </c>
      <c r="E6" s="23" t="n">
        <v>131</v>
      </c>
      <c r="F6" s="23" t="n">
        <v>152</v>
      </c>
      <c r="G6" s="23" t="n">
        <v>178</v>
      </c>
      <c r="H6" s="23" t="n">
        <v>205</v>
      </c>
    </row>
    <row r="7">
      <c r="A7" s="25" t="inlineStr">
        <is>
          <t>Peer median</t>
        </is>
      </c>
      <c r="B7" s="23" t="n">
        <v>100</v>
      </c>
      <c r="C7" s="23" t="n">
        <v>101</v>
      </c>
      <c r="D7" s="23" t="n">
        <v>108</v>
      </c>
      <c r="E7" s="23" t="n">
        <v>112</v>
      </c>
      <c r="F7" s="23" t="n">
        <v>121</v>
      </c>
      <c r="G7" s="23" t="n">
        <v>128</v>
      </c>
      <c r="H7" s="23" t="n">
        <v>134</v>
      </c>
    </row>
    <row r="22">
      <c r="A22" s="1" t="inlineStr">
        <is>
          <t>HOW TO USE THIS TAB</t>
        </is>
      </c>
    </row>
    <row r="23">
      <c r="A23" s="8" t="inlineStr">
        <is>
          <t>• Direct side labels at line ends beat a legend (rule 1): add two text boxes ('Us', 'Peer median') after pasting.</t>
        </is>
      </c>
    </row>
    <row r="24">
      <c r="A24" s="8" t="inlineStr">
        <is>
          <t>• Keep the axis: precise values matter on indexed lines, so faint gridlines stay (rule 7).</t>
        </is>
      </c>
    </row>
    <row r="26">
      <c r="A26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E6FB0"/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CORE CHART</t>
        </is>
      </c>
    </row>
    <row r="2">
      <c r="A2" s="20" t="inlineStr">
        <is>
          <t>Bars + rate line, two axes by unit</t>
        </is>
      </c>
    </row>
    <row r="3">
      <c r="A3" s="8" t="inlineStr">
        <is>
          <t>One scale per unit (rule 27): $m bars own the left axis, margin % owns the right.</t>
        </is>
      </c>
    </row>
    <row r="5">
      <c r="A5" s="21" t="inlineStr">
        <is>
          <t>Series</t>
        </is>
      </c>
      <c r="B5" s="22" t="inlineStr">
        <is>
          <t>FY24</t>
        </is>
      </c>
      <c r="C5" s="22" t="inlineStr">
        <is>
          <t>FY25</t>
        </is>
      </c>
      <c r="D5" s="22" t="inlineStr">
        <is>
          <t>FY26</t>
        </is>
      </c>
      <c r="E5" s="22" t="inlineStr">
        <is>
          <t>FY27</t>
        </is>
      </c>
      <c r="F5" s="22" t="inlineStr">
        <is>
          <t>FY28</t>
        </is>
      </c>
    </row>
    <row r="6">
      <c r="A6" s="25" t="inlineStr">
        <is>
          <t>Revenue ($m)</t>
        </is>
      </c>
      <c r="B6" s="23" t="n">
        <v>182</v>
      </c>
      <c r="C6" s="23" t="n">
        <v>204</v>
      </c>
      <c r="D6" s="23" t="n">
        <v>238</v>
      </c>
      <c r="E6" s="23" t="n">
        <v>268</v>
      </c>
      <c r="F6" s="23" t="n">
        <v>300</v>
      </c>
    </row>
    <row r="7">
      <c r="A7" s="25" t="inlineStr">
        <is>
          <t>EBITDA margin</t>
        </is>
      </c>
      <c r="B7" s="40" t="n">
        <v>0.18</v>
      </c>
      <c r="C7" s="40" t="n">
        <v>0.2</v>
      </c>
      <c r="D7" s="40" t="n">
        <v>0.22</v>
      </c>
      <c r="E7" s="40" t="n">
        <v>0.24</v>
      </c>
      <c r="F7" s="40" t="n">
        <v>0.26</v>
      </c>
    </row>
    <row r="23">
      <c r="A23" s="1" t="inlineStr">
        <is>
          <t>HOW TO USE THIS TAB</t>
        </is>
      </c>
    </row>
    <row r="24">
      <c r="A24" s="8" t="inlineStr">
        <is>
          <t>• Two axes maximum; group any extra series by unit onto an existing axis (rule 27).</t>
        </is>
      </c>
    </row>
    <row r="25">
      <c r="A25" s="8" t="inlineStr">
        <is>
          <t>• Right axis text is accent — same colour as the line — so ownership is unambiguous.</t>
        </is>
      </c>
    </row>
    <row r="26">
      <c r="A26" s="8" t="inlineStr">
        <is>
          <t>• Axis maxima: round up to a clean interval so gridlines land on round numbers (rule 28).</t>
        </is>
      </c>
    </row>
    <row r="28">
      <c r="A28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5B8FC7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SPECIALTY</t>
        </is>
      </c>
    </row>
    <row r="2">
      <c r="A2" s="20" t="inlineStr">
        <is>
          <t>Radar — normalise every axis to 0–100 first</t>
        </is>
      </c>
    </row>
    <row r="3">
      <c r="A3" s="8" t="inlineStr">
        <is>
          <t>Enter raw metrics + the 100-score benchmark; spokes plot the normalised block (rule 23).</t>
        </is>
      </c>
    </row>
    <row r="5">
      <c r="A5" s="21" t="inlineStr">
        <is>
          <t>Metric (raw)</t>
        </is>
      </c>
      <c r="B5" s="22" t="inlineStr">
        <is>
          <t>Us</t>
        </is>
      </c>
      <c r="C5" s="22" t="inlineStr">
        <is>
          <t>Peer</t>
        </is>
      </c>
      <c r="D5" s="22" t="inlineStr">
        <is>
          <t>Scale max</t>
        </is>
      </c>
    </row>
    <row r="6">
      <c r="A6" s="25" t="inlineStr">
        <is>
          <t>Revenue growth (%)</t>
        </is>
      </c>
      <c r="B6" s="23" t="n">
        <v>24</v>
      </c>
      <c r="C6" s="23" t="n">
        <v>15</v>
      </c>
      <c r="D6" s="23" t="n">
        <v>30</v>
      </c>
    </row>
    <row r="7">
      <c r="A7" s="25" t="inlineStr">
        <is>
          <t>EBITDA margin (%)</t>
        </is>
      </c>
      <c r="B7" s="23" t="n">
        <v>22</v>
      </c>
      <c r="C7" s="23" t="n">
        <v>26</v>
      </c>
      <c r="D7" s="23" t="n">
        <v>35</v>
      </c>
    </row>
    <row r="8">
      <c r="A8" s="25" t="inlineStr">
        <is>
          <t>Market share (%)</t>
        </is>
      </c>
      <c r="B8" s="23" t="n">
        <v>21</v>
      </c>
      <c r="C8" s="23" t="n">
        <v>24</v>
      </c>
      <c r="D8" s="23" t="n">
        <v>30</v>
      </c>
    </row>
    <row r="9">
      <c r="A9" s="25" t="inlineStr">
        <is>
          <t>NPS (pts)</t>
        </is>
      </c>
      <c r="B9" s="23" t="n">
        <v>46</v>
      </c>
      <c r="C9" s="23" t="n">
        <v>31</v>
      </c>
      <c r="D9" s="23" t="n">
        <v>60</v>
      </c>
    </row>
    <row r="10">
      <c r="A10" s="25" t="inlineStr">
        <is>
          <t>Retention (%)</t>
        </is>
      </c>
      <c r="B10" s="23" t="n">
        <v>88</v>
      </c>
      <c r="C10" s="23" t="n">
        <v>80</v>
      </c>
      <c r="D10" s="23" t="n">
        <v>100</v>
      </c>
    </row>
    <row r="12">
      <c r="A12" s="21" t="inlineStr">
        <is>
          <t>Normalised 0–100</t>
        </is>
      </c>
      <c r="B12" s="22" t="inlineStr">
        <is>
          <t>Us</t>
        </is>
      </c>
      <c r="C12" s="22" t="inlineStr">
        <is>
          <t>Peer</t>
        </is>
      </c>
    </row>
    <row r="13">
      <c r="A13" s="41">
        <f>A6</f>
        <v/>
      </c>
      <c r="B13" s="24">
        <f>ROUND(B6/D6*100,0)</f>
        <v/>
      </c>
      <c r="C13" s="24">
        <f>ROUND(C6/D6*100,0)</f>
        <v/>
      </c>
    </row>
    <row r="14">
      <c r="A14" s="41">
        <f>A7</f>
        <v/>
      </c>
      <c r="B14" s="24">
        <f>ROUND(B7/D7*100,0)</f>
        <v/>
      </c>
      <c r="C14" s="24">
        <f>ROUND(C7/D7*100,0)</f>
        <v/>
      </c>
    </row>
    <row r="15">
      <c r="A15" s="41">
        <f>A8</f>
        <v/>
      </c>
      <c r="B15" s="24">
        <f>ROUND(B8/D8*100,0)</f>
        <v/>
      </c>
      <c r="C15" s="24">
        <f>ROUND(C8/D8*100,0)</f>
        <v/>
      </c>
    </row>
    <row r="16">
      <c r="A16" s="41">
        <f>A9</f>
        <v/>
      </c>
      <c r="B16" s="24">
        <f>ROUND(B9/D9*100,0)</f>
        <v/>
      </c>
      <c r="C16" s="24">
        <f>ROUND(C9/D9*100,0)</f>
        <v/>
      </c>
    </row>
    <row r="17">
      <c r="A17" s="41">
        <f>A10</f>
        <v/>
      </c>
      <c r="B17" s="24">
        <f>ROUND(B10/D10*100,0)</f>
        <v/>
      </c>
      <c r="C17" s="24">
        <f>ROUND(C10/D10*100,0)</f>
        <v/>
      </c>
    </row>
    <row r="19">
      <c r="A19" s="1" t="inlineStr">
        <is>
          <t>HOW TO USE THIS TAB</t>
        </is>
      </c>
    </row>
    <row r="20">
      <c r="A20" s="8" t="inlineStr">
        <is>
          <t>• Never plot raw units on spokes — the 0–100 block is what the chart reads (rule 23).</t>
        </is>
      </c>
    </row>
    <row r="21">
      <c r="A21" s="8" t="inlineStr">
        <is>
          <t>• Put the most important metric in the first row: Excel places it at 12 o'clock (rule 24).</t>
        </is>
      </c>
    </row>
    <row r="22">
      <c r="A22" s="8" t="inlineStr">
        <is>
          <t>• Keep the scoring table with the chart so the exhibit can be re-derived.</t>
        </is>
      </c>
    </row>
    <row r="24">
      <c r="A24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5B8FC7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SPECIALTY</t>
        </is>
      </c>
    </row>
    <row r="2">
      <c r="A2" s="20" t="inlineStr">
        <is>
          <t>Share of total — ≤5 slices, labelled directly</t>
        </is>
      </c>
    </row>
    <row r="3">
      <c r="A3" s="8" t="inlineStr">
        <is>
          <t>Category + percent labels, no legend (rule 1). Order slices largest-first.</t>
        </is>
      </c>
    </row>
    <row r="5">
      <c r="A5" s="21" t="inlineStr">
        <is>
          <t>Slice</t>
        </is>
      </c>
      <c r="B5" s="22" t="inlineStr">
        <is>
          <t>Value ($m)</t>
        </is>
      </c>
    </row>
    <row r="6">
      <c r="A6" s="25" t="inlineStr">
        <is>
          <t>North America</t>
        </is>
      </c>
      <c r="B6" s="23" t="n">
        <v>96</v>
      </c>
    </row>
    <row r="7">
      <c r="A7" s="25" t="inlineStr">
        <is>
          <t>Europe</t>
        </is>
      </c>
      <c r="B7" s="23" t="n">
        <v>68</v>
      </c>
    </row>
    <row r="8">
      <c r="A8" s="25" t="inlineStr">
        <is>
          <t>APAC</t>
        </is>
      </c>
      <c r="B8" s="23" t="n">
        <v>45</v>
      </c>
    </row>
    <row r="9">
      <c r="A9" s="25" t="inlineStr">
        <is>
          <t>Rest of world</t>
        </is>
      </c>
      <c r="B9" s="23" t="n">
        <v>21</v>
      </c>
    </row>
    <row r="12">
      <c r="A12" s="1" t="inlineStr">
        <is>
          <t>HOW TO USE THIS TAB</t>
        </is>
      </c>
    </row>
    <row r="13">
      <c r="A13" s="8" t="inlineStr">
        <is>
          <t>• Four neutral blues/greys — colour is not meaning here, so no semantic colours (rule 5).</t>
        </is>
      </c>
    </row>
    <row r="14">
      <c r="A14" s="8" t="inlineStr">
        <is>
          <t>• More than 5 categories? Merge the tail into 'Other' or switch to the ranking-bars tab.</t>
        </is>
      </c>
    </row>
    <row r="15">
      <c r="A15" s="8" t="inlineStr">
        <is>
          <t>• For the leader-line look of ref05, drag labels outward in Excel; leader lines appear automatically.</t>
        </is>
      </c>
    </row>
    <row r="17">
      <c r="A17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5B8FC7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SPECIALTY</t>
        </is>
      </c>
    </row>
    <row r="2">
      <c r="A2" s="20" t="inlineStr">
        <is>
          <t>Two units, two scales (ref16)</t>
        </is>
      </c>
    </row>
    <row r="3">
      <c r="A3" s="8" t="inlineStr">
        <is>
          <t>Left axis: $m (navy). Right axis: count (accent) — axis coloured like its series.</t>
        </is>
      </c>
    </row>
    <row r="5">
      <c r="A5" s="21" t="inlineStr">
        <is>
          <t>Series</t>
        </is>
      </c>
      <c r="B5" s="22" t="inlineStr">
        <is>
          <t>2019</t>
        </is>
      </c>
      <c r="C5" s="22" t="inlineStr">
        <is>
          <t>2020</t>
        </is>
      </c>
      <c r="D5" s="22" t="inlineStr">
        <is>
          <t>2021</t>
        </is>
      </c>
      <c r="E5" s="22" t="inlineStr">
        <is>
          <t>2022</t>
        </is>
      </c>
      <c r="F5" s="22" t="inlineStr">
        <is>
          <t>2023</t>
        </is>
      </c>
      <c r="G5" s="22" t="inlineStr">
        <is>
          <t>2024</t>
        </is>
      </c>
      <c r="H5" s="22" t="inlineStr">
        <is>
          <t>2025</t>
        </is>
      </c>
    </row>
    <row r="6">
      <c r="A6" s="25" t="inlineStr">
        <is>
          <t>Investment ($m)</t>
        </is>
      </c>
      <c r="B6" s="23" t="n">
        <v>310</v>
      </c>
      <c r="C6" s="23" t="n">
        <v>280</v>
      </c>
      <c r="D6" s="23" t="n">
        <v>520</v>
      </c>
      <c r="E6" s="23" t="n">
        <v>640</v>
      </c>
      <c r="F6" s="23" t="n">
        <v>590</v>
      </c>
      <c r="G6" s="23" t="n">
        <v>830</v>
      </c>
      <c r="H6" s="23" t="n">
        <v>1050</v>
      </c>
    </row>
    <row r="7">
      <c r="A7" s="25" t="inlineStr">
        <is>
          <t>Deal count</t>
        </is>
      </c>
      <c r="B7" s="23" t="n">
        <v>14</v>
      </c>
      <c r="C7" s="23" t="n">
        <v>12</v>
      </c>
      <c r="D7" s="23" t="n">
        <v>21</v>
      </c>
      <c r="E7" s="23" t="n">
        <v>26</v>
      </c>
      <c r="F7" s="23" t="n">
        <v>24</v>
      </c>
      <c r="G7" s="23" t="n">
        <v>31</v>
      </c>
      <c r="H7" s="23" t="n">
        <v>38</v>
      </c>
    </row>
    <row r="23">
      <c r="A23" s="1" t="inlineStr">
        <is>
          <t>HOW TO USE THIS TAB</t>
        </is>
      </c>
    </row>
    <row r="24">
      <c r="A24" s="8" t="inlineStr">
        <is>
          <t>• Each axis takes the colour of the series that owns it — the reader never guesses which scale is whose.</t>
        </is>
      </c>
    </row>
    <row r="25">
      <c r="A25" s="8" t="inlineStr">
        <is>
          <t>• Label each line directly at its right end with a text box after pasting (rule 1).</t>
        </is>
      </c>
    </row>
    <row r="26">
      <c r="A26" s="8" t="inlineStr">
        <is>
          <t>• Use this only when both series genuinely share the time axis; otherwise make two small charts.</t>
        </is>
      </c>
    </row>
    <row r="28">
      <c r="A28" s="27" t="inlineStr">
        <is>
          <t>Source: [replace before presenting — source line is mandatory on every exhibit]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2026-07-04T12:00:25Z</dcterms:created>
  <dcterms:modified xsi:type="dcterms:W3CDTF">2026-07-04T12:00:25Z</dcterms:modified>
</cp:coreProperties>
</file>